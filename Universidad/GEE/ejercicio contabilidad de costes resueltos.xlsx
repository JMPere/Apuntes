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Pere\Desktop\Apuntes\trunk\Universidad\GEE\"/>
    </mc:Choice>
  </mc:AlternateContent>
  <xr:revisionPtr revIDLastSave="0" documentId="8_{9DA3382B-266B-4213-9D54-C2232B1BCC9D}" xr6:coauthVersionLast="45" xr6:coauthVersionMax="45" xr10:uidLastSave="{00000000-0000-0000-0000-000000000000}"/>
  <bookViews>
    <workbookView xWindow="-108" yWindow="-108" windowWidth="23256" windowHeight="12576" xr2:uid="{ED40780D-6199-4827-9F4C-77AF160D4D46}"/>
  </bookViews>
  <sheets>
    <sheet name="ejercicio resuelto coste 1" sheetId="1" r:id="rId1"/>
    <sheet name="ejercicio resuelto coste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2" l="1"/>
  <c r="J10" i="2"/>
  <c r="K10" i="2" s="1"/>
  <c r="J8" i="2"/>
  <c r="J6" i="2"/>
  <c r="K6" i="2" s="1"/>
  <c r="L6" i="2" s="1"/>
  <c r="M6" i="2" s="1"/>
  <c r="H20" i="2" s="1"/>
  <c r="G48" i="2"/>
  <c r="K8" i="2"/>
  <c r="K12" i="2"/>
  <c r="L12" i="2" s="1"/>
  <c r="M12" i="2" s="1"/>
  <c r="H30" i="2" s="1"/>
  <c r="I30" i="2" s="1"/>
  <c r="G60" i="2"/>
  <c r="G59" i="2"/>
  <c r="G58" i="2"/>
  <c r="G57" i="2"/>
  <c r="E65" i="2"/>
  <c r="E64" i="2"/>
  <c r="E63" i="2"/>
  <c r="E62" i="2"/>
  <c r="E61" i="2"/>
  <c r="C64" i="2"/>
  <c r="C63" i="2"/>
  <c r="C62" i="2"/>
  <c r="C61" i="2"/>
  <c r="E60" i="2"/>
  <c r="E59" i="2"/>
  <c r="E58" i="2"/>
  <c r="E57" i="2"/>
  <c r="G44" i="2"/>
  <c r="G38" i="2"/>
  <c r="J46" i="2"/>
  <c r="J40" i="2"/>
  <c r="G46" i="2"/>
  <c r="J43" i="2"/>
  <c r="G40" i="2"/>
  <c r="K28" i="2"/>
  <c r="K19" i="2"/>
  <c r="I21" i="2"/>
  <c r="I13" i="2"/>
  <c r="I11" i="2"/>
  <c r="I9" i="2"/>
  <c r="I7" i="2"/>
  <c r="H21" i="1"/>
  <c r="H19" i="1"/>
  <c r="I28" i="1"/>
  <c r="H5" i="1"/>
  <c r="I43" i="1"/>
  <c r="I41" i="1"/>
  <c r="H44" i="1"/>
  <c r="H42" i="1"/>
  <c r="H45" i="1"/>
  <c r="I32" i="1"/>
  <c r="H33" i="1"/>
  <c r="H29" i="1"/>
  <c r="H36" i="1"/>
  <c r="G35" i="1"/>
  <c r="G34" i="1"/>
  <c r="G31" i="1"/>
  <c r="F35" i="1"/>
  <c r="F34" i="1"/>
  <c r="F31" i="1"/>
  <c r="E12" i="1"/>
  <c r="G12" i="1" s="1"/>
  <c r="E10" i="1"/>
  <c r="G10" i="1" s="1"/>
  <c r="E8" i="1"/>
  <c r="E21" i="1" s="1"/>
  <c r="E22" i="1" s="1"/>
  <c r="E6" i="1"/>
  <c r="G6" i="1" s="1"/>
  <c r="G41" i="2" l="1"/>
  <c r="L10" i="2"/>
  <c r="M10" i="2" s="1"/>
  <c r="H43" i="2" s="1"/>
  <c r="I61" i="2" s="1"/>
  <c r="L8" i="2"/>
  <c r="M8" i="2" s="1"/>
  <c r="H40" i="2" s="1"/>
  <c r="I40" i="2" s="1"/>
  <c r="I20" i="2"/>
  <c r="I14" i="2"/>
  <c r="I15" i="2" s="1"/>
  <c r="H23" i="1"/>
  <c r="H20" i="1" s="1"/>
  <c r="I19" i="1"/>
  <c r="G8" i="1"/>
  <c r="G13" i="1" s="1"/>
  <c r="G14" i="1" s="1"/>
  <c r="E19" i="1"/>
  <c r="E20" i="1" s="1"/>
  <c r="I43" i="2" l="1"/>
  <c r="I22" i="2"/>
  <c r="I23" i="2" s="1"/>
  <c r="L19" i="2"/>
  <c r="H49" i="2"/>
  <c r="L14" i="2"/>
  <c r="H46" i="2"/>
  <c r="I46" i="2" s="1"/>
  <c r="H22" i="1"/>
  <c r="I21" i="1" s="1"/>
  <c r="H11" i="1"/>
  <c r="H9" i="1"/>
  <c r="I9" i="1" s="1"/>
  <c r="H7" i="1"/>
  <c r="M19" i="2" l="1"/>
  <c r="L22" i="2"/>
  <c r="J9" i="1"/>
  <c r="K9" i="1" s="1"/>
  <c r="I5" i="1"/>
  <c r="J5" i="1" s="1"/>
  <c r="I11" i="1"/>
  <c r="I7" i="1"/>
  <c r="H29" i="2" l="1"/>
  <c r="H39" i="2"/>
  <c r="J11" i="1"/>
  <c r="K11" i="1" s="1"/>
  <c r="J7" i="1"/>
  <c r="K7" i="1" s="1"/>
  <c r="F22" i="1" s="1"/>
  <c r="G22" i="1" s="1"/>
  <c r="J21" i="1" s="1"/>
  <c r="K21" i="1" s="1"/>
  <c r="F30" i="1" s="1"/>
  <c r="G30" i="1" s="1"/>
  <c r="K5" i="1"/>
  <c r="F20" i="1" s="1"/>
  <c r="G20" i="1" s="1"/>
  <c r="J19" i="1" s="1"/>
  <c r="I39" i="2" l="1"/>
  <c r="H42" i="2"/>
  <c r="I42" i="2" s="1"/>
  <c r="I29" i="2"/>
  <c r="J23" i="1"/>
  <c r="K19" i="1"/>
  <c r="J13" i="1"/>
  <c r="G23" i="1"/>
  <c r="G24" i="1" s="1"/>
  <c r="L28" i="2" l="1"/>
  <c r="I31" i="2"/>
  <c r="F33" i="1"/>
  <c r="G33" i="1" s="1"/>
  <c r="J32" i="1" s="1"/>
  <c r="K32" i="1" s="1"/>
  <c r="F44" i="1" s="1"/>
  <c r="G44" i="1" s="1"/>
  <c r="J43" i="1" s="1"/>
  <c r="K43" i="1" s="1"/>
  <c r="F29" i="1"/>
  <c r="G29" i="1" s="1"/>
  <c r="L31" i="2" l="1"/>
  <c r="M28" i="2"/>
  <c r="H45" i="2" s="1"/>
  <c r="J28" i="1"/>
  <c r="G36" i="1"/>
  <c r="G37" i="1" s="1"/>
  <c r="I45" i="2" l="1"/>
  <c r="H48" i="2"/>
  <c r="K28" i="1"/>
  <c r="F42" i="1" s="1"/>
  <c r="G42" i="1" s="1"/>
  <c r="J36" i="1"/>
  <c r="J41" i="1" l="1"/>
  <c r="G45" i="1"/>
  <c r="G46" i="1" s="1"/>
  <c r="K41" i="1" l="1"/>
  <c r="J45" i="1"/>
  <c r="I32" i="2"/>
  <c r="I48" i="2"/>
  <c r="J49" i="2"/>
  <c r="J50" i="2" s="1"/>
  <c r="J45" i="2" s="1"/>
  <c r="K44" i="2" s="1"/>
  <c r="L44" i="2" s="1"/>
  <c r="I49" i="2"/>
  <c r="I50" i="2" s="1"/>
  <c r="I51" i="2" s="1"/>
  <c r="I59" i="2" l="1"/>
  <c r="M44" i="2"/>
  <c r="J42" i="2"/>
  <c r="K41" i="2" s="1"/>
  <c r="L41" i="2" s="1"/>
  <c r="J48" i="2"/>
  <c r="K47" i="2" s="1"/>
  <c r="L47" i="2" s="1"/>
  <c r="J39" i="2"/>
  <c r="K38" i="2" s="1"/>
  <c r="L38" i="2" s="1"/>
  <c r="L50" i="2" l="1"/>
  <c r="M38" i="2"/>
  <c r="I57" i="2"/>
  <c r="M47" i="2"/>
  <c r="I60" i="2"/>
  <c r="I58" i="2"/>
  <c r="M41" i="2"/>
  <c r="I62" i="2" l="1"/>
</calcChain>
</file>

<file path=xl/sharedStrings.xml><?xml version="1.0" encoding="utf-8"?>
<sst xmlns="http://schemas.openxmlformats.org/spreadsheetml/2006/main" count="161" uniqueCount="54">
  <si>
    <t>harina</t>
  </si>
  <si>
    <t>azucar</t>
  </si>
  <si>
    <t>fructosa</t>
  </si>
  <si>
    <t>aceite</t>
  </si>
  <si>
    <t>Secado</t>
  </si>
  <si>
    <t>h_c</t>
  </si>
  <si>
    <t>a_c</t>
  </si>
  <si>
    <t>Amasado</t>
  </si>
  <si>
    <t>f_c</t>
  </si>
  <si>
    <t>az_c</t>
  </si>
  <si>
    <t>Artículos de entrada</t>
  </si>
  <si>
    <t>Criterio</t>
  </si>
  <si>
    <t>Costes</t>
  </si>
  <si>
    <t>Coste</t>
  </si>
  <si>
    <t>Almacén de entrada</t>
  </si>
  <si>
    <t>uds.</t>
  </si>
  <si>
    <t>cost. Unit.</t>
  </si>
  <si>
    <t>Importe</t>
  </si>
  <si>
    <t>de reparto</t>
  </si>
  <si>
    <t>sección</t>
  </si>
  <si>
    <t>total</t>
  </si>
  <si>
    <t>unitario</t>
  </si>
  <si>
    <t>h_c_s</t>
  </si>
  <si>
    <t>az_c_s</t>
  </si>
  <si>
    <t>bizc_t</t>
  </si>
  <si>
    <t>bizc_s</t>
  </si>
  <si>
    <t>Horno</t>
  </si>
  <si>
    <t>Bizcocho tradicional</t>
  </si>
  <si>
    <t>Bizcocho sin azucar</t>
  </si>
  <si>
    <t>ppbc_c</t>
  </si>
  <si>
    <t>polvo pintura blanca</t>
  </si>
  <si>
    <t>envases1_c</t>
  </si>
  <si>
    <t>envases3_c</t>
  </si>
  <si>
    <t>envases1</t>
  </si>
  <si>
    <t>envases3</t>
  </si>
  <si>
    <t>colorante_c</t>
  </si>
  <si>
    <t>colorante</t>
  </si>
  <si>
    <t>Mezcladora 1</t>
  </si>
  <si>
    <t>pb</t>
  </si>
  <si>
    <t>ppb_c</t>
  </si>
  <si>
    <t>agua</t>
  </si>
  <si>
    <t>Mezcladora 2</t>
  </si>
  <si>
    <t>pc</t>
  </si>
  <si>
    <t>Envasado</t>
  </si>
  <si>
    <t>1kg pintura blanca</t>
  </si>
  <si>
    <t>3kg pintura blanca</t>
  </si>
  <si>
    <t>1kg pintura color</t>
  </si>
  <si>
    <t>3kg pintura color</t>
  </si>
  <si>
    <t>Contabilidad general</t>
  </si>
  <si>
    <t>Contabilidad de coste</t>
  </si>
  <si>
    <t>adquisicion envases</t>
  </si>
  <si>
    <t>adquisicion pintura blanca</t>
  </si>
  <si>
    <t>adquisicion colorante</t>
  </si>
  <si>
    <t>envases3 sobrantes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</si>
</sst>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.00\ &quot;€/Kg&quot;"/>
    <numFmt numFmtId="165" formatCode="#,##0.000"/>
    <numFmt numFmtId="166" formatCode="_-* #,##0.0000\ &quot;€&quot;_-;\-* #,##0.0000\ &quot;€&quot;_-;_-* &quot;-&quot;????\ &quot;€&quot;_-;_-@_-"/>
    <numFmt numFmtId="167" formatCode="_-* #,##0_-;\-* #,##0_-;_-* &quot;-&quot;??_-;_-@_-"/>
    <numFmt numFmtId="168" formatCode="_-* #,##0.0000_-;\-* #,##0.0000_-;_-* &quot;-&quot;??_-;_-@_-"/>
    <numFmt numFmtId="169" formatCode="#,##0\ &quot;Kg&quot;"/>
    <numFmt numFmtId="170" formatCode="0.00\ &quot;€/uds&quot;"/>
    <numFmt numFmtId="171" formatCode="#,##0.000\ &quot;m3&quot;"/>
    <numFmt numFmtId="172" formatCode="0.00\ &quot;€/m3&quot;"/>
    <numFmt numFmtId="173" formatCode="_-* #,##0.0000\ &quot;€&quot;_-;\-* #,##0.0000\ &quot;€&quot;_-;_-* &quot;-&quot;??\ &quot;€&quot;_-;_-@_-"/>
    <numFmt numFmtId="174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0" xfId="0" applyFill="1" applyAlignment="1"/>
    <xf numFmtId="3" fontId="0" fillId="2" borderId="4" xfId="2" applyNumberFormat="1" applyFont="1" applyFill="1" applyBorder="1"/>
    <xf numFmtId="3" fontId="0" fillId="2" borderId="3" xfId="2" applyNumberFormat="1" applyFont="1" applyFill="1" applyBorder="1"/>
    <xf numFmtId="3" fontId="0" fillId="2" borderId="2" xfId="2" applyNumberFormat="1" applyFont="1" applyFill="1" applyBorder="1"/>
    <xf numFmtId="164" fontId="0" fillId="2" borderId="2" xfId="2" applyNumberFormat="1" applyFont="1" applyFill="1" applyBorder="1"/>
    <xf numFmtId="44" fontId="0" fillId="2" borderId="2" xfId="2" applyFont="1" applyFill="1" applyBorder="1"/>
    <xf numFmtId="166" fontId="0" fillId="2" borderId="2" xfId="2" applyNumberFormat="1" applyFont="1" applyFill="1" applyBorder="1"/>
    <xf numFmtId="164" fontId="0" fillId="2" borderId="4" xfId="2" applyNumberFormat="1" applyFont="1" applyFill="1" applyBorder="1"/>
    <xf numFmtId="44" fontId="0" fillId="2" borderId="4" xfId="2" applyFont="1" applyFill="1" applyBorder="1"/>
    <xf numFmtId="164" fontId="0" fillId="2" borderId="3" xfId="2" applyNumberFormat="1" applyFont="1" applyFill="1" applyBorder="1"/>
    <xf numFmtId="44" fontId="0" fillId="2" borderId="3" xfId="2" applyFont="1" applyFill="1" applyBorder="1"/>
    <xf numFmtId="166" fontId="0" fillId="2" borderId="3" xfId="2" applyNumberFormat="1" applyFont="1" applyFill="1" applyBorder="1"/>
    <xf numFmtId="3" fontId="0" fillId="2" borderId="5" xfId="2" applyNumberFormat="1" applyFont="1" applyFill="1" applyBorder="1"/>
    <xf numFmtId="164" fontId="0" fillId="2" borderId="5" xfId="2" applyNumberFormat="1" applyFont="1" applyFill="1" applyBorder="1"/>
    <xf numFmtId="44" fontId="0" fillId="2" borderId="5" xfId="2" applyFont="1" applyFill="1" applyBorder="1"/>
    <xf numFmtId="165" fontId="0" fillId="2" borderId="5" xfId="2" applyNumberFormat="1" applyFont="1" applyFill="1" applyBorder="1"/>
    <xf numFmtId="166" fontId="0" fillId="2" borderId="5" xfId="2" applyNumberFormat="1" applyFont="1" applyFill="1" applyBorder="1"/>
    <xf numFmtId="3" fontId="0" fillId="3" borderId="1" xfId="2" applyNumberFormat="1" applyFont="1" applyFill="1" applyBorder="1"/>
    <xf numFmtId="3" fontId="0" fillId="3" borderId="10" xfId="2" applyNumberFormat="1" applyFont="1" applyFill="1" applyBorder="1"/>
    <xf numFmtId="3" fontId="0" fillId="3" borderId="4" xfId="2" applyNumberFormat="1" applyFont="1" applyFill="1" applyBorder="1"/>
    <xf numFmtId="3" fontId="0" fillId="3" borderId="3" xfId="2" applyNumberFormat="1" applyFont="1" applyFill="1" applyBorder="1"/>
    <xf numFmtId="0" fontId="0" fillId="3" borderId="2" xfId="0" applyFill="1" applyBorder="1"/>
    <xf numFmtId="2" fontId="0" fillId="2" borderId="4" xfId="0" applyNumberFormat="1" applyFill="1" applyBorder="1"/>
    <xf numFmtId="2" fontId="0" fillId="2" borderId="3" xfId="0" applyNumberFormat="1" applyFill="1" applyBorder="1"/>
    <xf numFmtId="3" fontId="0" fillId="2" borderId="0" xfId="2" applyNumberFormat="1" applyFont="1" applyFill="1" applyBorder="1"/>
    <xf numFmtId="164" fontId="0" fillId="2" borderId="0" xfId="2" applyNumberFormat="1" applyFont="1" applyFill="1" applyBorder="1"/>
    <xf numFmtId="44" fontId="0" fillId="2" borderId="0" xfId="2" applyFont="1" applyFill="1" applyBorder="1"/>
    <xf numFmtId="165" fontId="0" fillId="2" borderId="0" xfId="2" applyNumberFormat="1" applyFont="1" applyFill="1" applyBorder="1"/>
    <xf numFmtId="166" fontId="0" fillId="2" borderId="0" xfId="2" applyNumberFormat="1" applyFont="1" applyFill="1" applyBorder="1"/>
    <xf numFmtId="2" fontId="0" fillId="2" borderId="0" xfId="2" applyNumberFormat="1" applyFont="1" applyFill="1" applyBorder="1"/>
    <xf numFmtId="44" fontId="0" fillId="2" borderId="4" xfId="0" applyNumberFormat="1" applyFill="1" applyBorder="1" applyAlignment="1">
      <alignment horizontal="center"/>
    </xf>
    <xf numFmtId="44" fontId="0" fillId="2" borderId="4" xfId="2" applyFont="1" applyFill="1" applyBorder="1" applyAlignment="1">
      <alignment horizontal="center"/>
    </xf>
    <xf numFmtId="1" fontId="0" fillId="2" borderId="3" xfId="0" applyNumberFormat="1" applyFill="1" applyBorder="1"/>
    <xf numFmtId="1" fontId="0" fillId="2" borderId="4" xfId="0" applyNumberFormat="1" applyFill="1" applyBorder="1" applyAlignment="1">
      <alignment horizontal="center"/>
    </xf>
    <xf numFmtId="167" fontId="0" fillId="2" borderId="3" xfId="1" applyNumberFormat="1" applyFont="1" applyFill="1" applyBorder="1"/>
    <xf numFmtId="167" fontId="0" fillId="2" borderId="2" xfId="1" applyNumberFormat="1" applyFont="1" applyFill="1" applyBorder="1"/>
    <xf numFmtId="167" fontId="0" fillId="2" borderId="0" xfId="1" applyNumberFormat="1" applyFont="1" applyFill="1" applyBorder="1"/>
    <xf numFmtId="43" fontId="0" fillId="2" borderId="4" xfId="1" applyNumberFormat="1" applyFont="1" applyFill="1" applyBorder="1" applyAlignment="1">
      <alignment horizontal="center"/>
    </xf>
    <xf numFmtId="44" fontId="0" fillId="2" borderId="0" xfId="0" applyNumberFormat="1" applyFill="1" applyBorder="1" applyAlignment="1">
      <alignment horizontal="center"/>
    </xf>
    <xf numFmtId="44" fontId="0" fillId="2" borderId="0" xfId="0" applyNumberFormat="1" applyFill="1" applyAlignment="1"/>
    <xf numFmtId="2" fontId="0" fillId="2" borderId="2" xfId="0" applyNumberFormat="1" applyFill="1" applyBorder="1"/>
    <xf numFmtId="44" fontId="0" fillId="2" borderId="3" xfId="2" applyFont="1" applyFill="1" applyBorder="1" applyAlignment="1">
      <alignment horizontal="center"/>
    </xf>
    <xf numFmtId="1" fontId="0" fillId="2" borderId="2" xfId="0" applyNumberFormat="1" applyFill="1" applyBorder="1"/>
    <xf numFmtId="1" fontId="0" fillId="2" borderId="0" xfId="2" applyNumberFormat="1" applyFont="1" applyFill="1" applyBorder="1"/>
    <xf numFmtId="2" fontId="0" fillId="2" borderId="3" xfId="0" applyNumberFormat="1" applyFill="1" applyBorder="1" applyAlignment="1">
      <alignment horizontal="center"/>
    </xf>
    <xf numFmtId="166" fontId="0" fillId="4" borderId="2" xfId="2" applyNumberFormat="1" applyFont="1" applyFill="1" applyBorder="1"/>
    <xf numFmtId="169" fontId="0" fillId="2" borderId="2" xfId="2" applyNumberFormat="1" applyFont="1" applyFill="1" applyBorder="1"/>
    <xf numFmtId="169" fontId="0" fillId="2" borderId="4" xfId="2" applyNumberFormat="1" applyFont="1" applyFill="1" applyBorder="1"/>
    <xf numFmtId="169" fontId="0" fillId="2" borderId="3" xfId="2" applyNumberFormat="1" applyFont="1" applyFill="1" applyBorder="1"/>
    <xf numFmtId="167" fontId="0" fillId="2" borderId="4" xfId="1" applyNumberFormat="1" applyFont="1" applyFill="1" applyBorder="1"/>
    <xf numFmtId="170" fontId="0" fillId="2" borderId="3" xfId="2" applyNumberFormat="1" applyFont="1" applyFill="1" applyBorder="1"/>
    <xf numFmtId="170" fontId="0" fillId="2" borderId="4" xfId="2" applyNumberFormat="1" applyFont="1" applyFill="1" applyBorder="1"/>
    <xf numFmtId="171" fontId="0" fillId="2" borderId="4" xfId="2" applyNumberFormat="1" applyFont="1" applyFill="1" applyBorder="1"/>
    <xf numFmtId="172" fontId="0" fillId="2" borderId="4" xfId="2" applyNumberFormat="1" applyFont="1" applyFill="1" applyBorder="1"/>
    <xf numFmtId="167" fontId="0" fillId="2" borderId="5" xfId="1" applyNumberFormat="1" applyFont="1" applyFill="1" applyBorder="1"/>
    <xf numFmtId="169" fontId="0" fillId="2" borderId="0" xfId="2" applyNumberFormat="1" applyFont="1" applyFill="1" applyBorder="1"/>
    <xf numFmtId="2" fontId="0" fillId="2" borderId="0" xfId="0" applyNumberFormat="1" applyFill="1" applyBorder="1"/>
    <xf numFmtId="170" fontId="0" fillId="2" borderId="0" xfId="2" applyNumberFormat="1" applyFont="1" applyFill="1" applyBorder="1"/>
    <xf numFmtId="44" fontId="0" fillId="2" borderId="0" xfId="2" applyFont="1" applyFill="1" applyBorder="1" applyAlignment="1">
      <alignment horizontal="center"/>
    </xf>
    <xf numFmtId="44" fontId="0" fillId="2" borderId="0" xfId="2" applyFont="1" applyFill="1"/>
    <xf numFmtId="173" fontId="0" fillId="3" borderId="2" xfId="2" applyNumberFormat="1" applyFont="1" applyFill="1" applyBorder="1"/>
    <xf numFmtId="173" fontId="0" fillId="3" borderId="3" xfId="2" applyNumberFormat="1" applyFont="1" applyFill="1" applyBorder="1"/>
    <xf numFmtId="173" fontId="0" fillId="2" borderId="2" xfId="2" applyNumberFormat="1" applyFont="1" applyFill="1" applyBorder="1"/>
    <xf numFmtId="173" fontId="0" fillId="2" borderId="4" xfId="2" applyNumberFormat="1" applyFont="1" applyFill="1" applyBorder="1" applyAlignment="1">
      <alignment horizontal="center"/>
    </xf>
    <xf numFmtId="173" fontId="0" fillId="2" borderId="3" xfId="2" applyNumberFormat="1" applyFont="1" applyFill="1" applyBorder="1" applyAlignment="1">
      <alignment horizontal="center"/>
    </xf>
    <xf numFmtId="173" fontId="0" fillId="2" borderId="4" xfId="2" applyNumberFormat="1" applyFont="1" applyFill="1" applyBorder="1"/>
    <xf numFmtId="173" fontId="0" fillId="2" borderId="5" xfId="2" applyNumberFormat="1" applyFont="1" applyFill="1" applyBorder="1"/>
    <xf numFmtId="173" fontId="0" fillId="2" borderId="0" xfId="2" applyNumberFormat="1" applyFont="1" applyFill="1" applyAlignment="1">
      <alignment horizontal="center"/>
    </xf>
    <xf numFmtId="173" fontId="0" fillId="2" borderId="5" xfId="2" applyNumberFormat="1" applyFont="1" applyFill="1" applyBorder="1" applyAlignment="1">
      <alignment horizontal="center"/>
    </xf>
    <xf numFmtId="173" fontId="0" fillId="2" borderId="0" xfId="2" applyNumberFormat="1" applyFont="1" applyFill="1" applyBorder="1"/>
    <xf numFmtId="173" fontId="0" fillId="2" borderId="0" xfId="2" applyNumberFormat="1" applyFont="1" applyFill="1" applyBorder="1" applyAlignment="1">
      <alignment horizontal="center"/>
    </xf>
    <xf numFmtId="173" fontId="0" fillId="2" borderId="0" xfId="2" applyNumberFormat="1" applyFont="1" applyFill="1"/>
    <xf numFmtId="173" fontId="0" fillId="2" borderId="3" xfId="2" applyNumberFormat="1" applyFont="1" applyFill="1" applyBorder="1"/>
    <xf numFmtId="170" fontId="0" fillId="2" borderId="2" xfId="2" applyNumberFormat="1" applyFont="1" applyFill="1" applyBorder="1"/>
    <xf numFmtId="44" fontId="0" fillId="2" borderId="2" xfId="2" applyFont="1" applyFill="1" applyBorder="1" applyAlignment="1">
      <alignment horizontal="center"/>
    </xf>
    <xf numFmtId="167" fontId="0" fillId="2" borderId="2" xfId="1" applyNumberFormat="1" applyFont="1" applyFill="1" applyBorder="1" applyAlignment="1">
      <alignment horizontal="center"/>
    </xf>
    <xf numFmtId="168" fontId="0" fillId="2" borderId="3" xfId="1" applyNumberFormat="1" applyFont="1" applyFill="1" applyBorder="1" applyAlignment="1">
      <alignment horizontal="center"/>
    </xf>
    <xf numFmtId="174" fontId="0" fillId="2" borderId="2" xfId="2" applyNumberFormat="1" applyFont="1" applyFill="1" applyBorder="1"/>
    <xf numFmtId="174" fontId="0" fillId="2" borderId="3" xfId="2" applyNumberFormat="1" applyFont="1" applyFill="1" applyBorder="1" applyAlignment="1">
      <alignment horizontal="center"/>
    </xf>
    <xf numFmtId="174" fontId="0" fillId="2" borderId="4" xfId="2" applyNumberFormat="1" applyFont="1" applyFill="1" applyBorder="1"/>
    <xf numFmtId="174" fontId="0" fillId="2" borderId="3" xfId="2" applyNumberFormat="1" applyFont="1" applyFill="1" applyBorder="1"/>
    <xf numFmtId="44" fontId="0" fillId="2" borderId="0" xfId="0" applyNumberFormat="1" applyFill="1"/>
    <xf numFmtId="3" fontId="0" fillId="2" borderId="0" xfId="0" applyNumberFormat="1" applyFill="1"/>
    <xf numFmtId="3" fontId="0" fillId="2" borderId="5" xfId="2" applyNumberFormat="1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3" fontId="0" fillId="3" borderId="8" xfId="2" applyNumberFormat="1" applyFont="1" applyFill="1" applyBorder="1" applyAlignment="1">
      <alignment horizontal="center"/>
    </xf>
    <xf numFmtId="3" fontId="0" fillId="3" borderId="10" xfId="2" applyNumberFormat="1" applyFont="1" applyFill="1" applyBorder="1" applyAlignment="1">
      <alignment horizontal="center"/>
    </xf>
    <xf numFmtId="3" fontId="0" fillId="4" borderId="2" xfId="2" applyNumberFormat="1" applyFont="1" applyFill="1" applyBorder="1" applyAlignment="1">
      <alignment horizontal="left"/>
    </xf>
    <xf numFmtId="0" fontId="0" fillId="2" borderId="4" xfId="0" applyFill="1" applyBorder="1" applyAlignment="1">
      <alignment horizontal="right"/>
    </xf>
    <xf numFmtId="3" fontId="0" fillId="2" borderId="2" xfId="2" applyNumberFormat="1" applyFont="1" applyFill="1" applyBorder="1" applyAlignment="1">
      <alignment horizontal="left"/>
    </xf>
    <xf numFmtId="3" fontId="0" fillId="2" borderId="11" xfId="2" applyNumberFormat="1" applyFont="1" applyFill="1" applyBorder="1" applyAlignment="1">
      <alignment horizontal="left"/>
    </xf>
    <xf numFmtId="0" fontId="0" fillId="2" borderId="6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3" fontId="0" fillId="2" borderId="3" xfId="2" applyNumberFormat="1" applyFont="1" applyFill="1" applyBorder="1" applyAlignment="1">
      <alignment horizontal="right"/>
    </xf>
    <xf numFmtId="3" fontId="0" fillId="2" borderId="4" xfId="2" applyNumberFormat="1" applyFont="1" applyFill="1" applyBorder="1" applyAlignment="1">
      <alignment horizontal="right"/>
    </xf>
    <xf numFmtId="3" fontId="0" fillId="2" borderId="0" xfId="2" applyNumberFormat="1" applyFont="1" applyFill="1" applyBorder="1" applyAlignment="1">
      <alignment horizontal="center"/>
    </xf>
    <xf numFmtId="0" fontId="0" fillId="2" borderId="3" xfId="0" applyFill="1" applyBorder="1" applyAlignment="1">
      <alignment horizontal="right"/>
    </xf>
    <xf numFmtId="3" fontId="0" fillId="2" borderId="3" xfId="2" applyNumberFormat="1" applyFont="1" applyFill="1" applyBorder="1" applyAlignment="1">
      <alignment horizontal="left"/>
    </xf>
    <xf numFmtId="0" fontId="0" fillId="3" borderId="0" xfId="0" applyFill="1" applyAlignment="1">
      <alignment horizontal="center"/>
    </xf>
    <xf numFmtId="0" fontId="0" fillId="2" borderId="2" xfId="0" applyFill="1" applyBorder="1" applyAlignment="1">
      <alignment horizontal="left"/>
    </xf>
    <xf numFmtId="3" fontId="0" fillId="2" borderId="0" xfId="2" applyNumberFormat="1" applyFont="1" applyFill="1" applyBorder="1" applyAlignment="1">
      <alignment horizontal="left"/>
    </xf>
    <xf numFmtId="3" fontId="0" fillId="2" borderId="0" xfId="2" applyNumberFormat="1" applyFont="1" applyFill="1" applyBorder="1" applyAlignment="1">
      <alignment horizontal="right"/>
    </xf>
    <xf numFmtId="0" fontId="0" fillId="2" borderId="5" xfId="0" applyFill="1" applyBorder="1" applyAlignment="1">
      <alignment horizontal="right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434340</xdr:colOff>
      <xdr:row>1</xdr:row>
      <xdr:rowOff>99060</xdr:rowOff>
    </xdr:from>
    <xdr:to>
      <xdr:col>19</xdr:col>
      <xdr:colOff>362825</xdr:colOff>
      <xdr:row>37</xdr:row>
      <xdr:rowOff>12337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388465C4-52FD-460F-8D92-9D06AB1E5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82100" y="281940"/>
          <a:ext cx="6268325" cy="64969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746760</xdr:colOff>
      <xdr:row>2</xdr:row>
      <xdr:rowOff>76200</xdr:rowOff>
    </xdr:from>
    <xdr:to>
      <xdr:col>21</xdr:col>
      <xdr:colOff>608560</xdr:colOff>
      <xdr:row>50</xdr:row>
      <xdr:rowOff>62183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E6E17B6-B638-4D44-B9BA-FA9432016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93880" y="441960"/>
          <a:ext cx="6201640" cy="8764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0445C-029F-463E-BE6C-634AF56E71A2}">
  <dimension ref="A3:Q46"/>
  <sheetViews>
    <sheetView tabSelected="1" workbookViewId="0">
      <selection activeCell="D15" sqref="D15"/>
    </sheetView>
  </sheetViews>
  <sheetFormatPr baseColWidth="10" defaultRowHeight="14.4" x14ac:dyDescent="0.3"/>
  <cols>
    <col min="1" max="6" width="11.5546875" style="2"/>
    <col min="7" max="7" width="11.77734375" style="2" bestFit="1" customWidth="1"/>
    <col min="8" max="9" width="11.5546875" style="2"/>
    <col min="10" max="10" width="11.77734375" style="2" bestFit="1" customWidth="1"/>
    <col min="11" max="14" width="11.5546875" style="2"/>
    <col min="15" max="17" width="11.5546875" style="1"/>
  </cols>
  <sheetData>
    <row r="3" spans="2:11" x14ac:dyDescent="0.3">
      <c r="C3" s="1"/>
      <c r="D3" s="1"/>
      <c r="E3" s="91" t="s">
        <v>10</v>
      </c>
      <c r="F3" s="92"/>
      <c r="G3" s="93"/>
      <c r="H3" s="27" t="s">
        <v>11</v>
      </c>
      <c r="I3" s="27" t="s">
        <v>12</v>
      </c>
      <c r="J3" s="27" t="s">
        <v>13</v>
      </c>
      <c r="K3" s="27" t="s">
        <v>13</v>
      </c>
    </row>
    <row r="4" spans="2:11" x14ac:dyDescent="0.3">
      <c r="B4" s="6"/>
      <c r="C4" s="94" t="s">
        <v>14</v>
      </c>
      <c r="D4" s="95"/>
      <c r="E4" s="23" t="s">
        <v>15</v>
      </c>
      <c r="F4" s="24" t="s">
        <v>16</v>
      </c>
      <c r="G4" s="24" t="s">
        <v>17</v>
      </c>
      <c r="H4" s="25" t="s">
        <v>18</v>
      </c>
      <c r="I4" s="25" t="s">
        <v>19</v>
      </c>
      <c r="J4" s="26" t="s">
        <v>20</v>
      </c>
      <c r="K4" s="26" t="s">
        <v>21</v>
      </c>
    </row>
    <row r="5" spans="2:11" x14ac:dyDescent="0.3">
      <c r="B5" s="6"/>
      <c r="C5" s="98" t="s">
        <v>5</v>
      </c>
      <c r="D5" s="98"/>
      <c r="E5" s="9">
        <v>4200</v>
      </c>
      <c r="F5" s="10"/>
      <c r="G5" s="16"/>
      <c r="H5" s="29">
        <f>G6/$G$13</f>
        <v>7.3068893528183715E-2</v>
      </c>
      <c r="I5" s="16">
        <f>H5*$I$13</f>
        <v>146.13778705636744</v>
      </c>
      <c r="J5" s="11">
        <f>I5+G6</f>
        <v>986.13778705636742</v>
      </c>
      <c r="K5" s="12">
        <f>J5/E6</f>
        <v>0.234794711203897</v>
      </c>
    </row>
    <row r="6" spans="2:11" ht="14.4" customHeight="1" x14ac:dyDescent="0.3">
      <c r="B6" s="6"/>
      <c r="C6" s="97" t="s">
        <v>0</v>
      </c>
      <c r="D6" s="97"/>
      <c r="E6" s="7">
        <f>E5</f>
        <v>4200</v>
      </c>
      <c r="F6" s="13">
        <v>0.2</v>
      </c>
      <c r="G6" s="37">
        <f>F6*E6</f>
        <v>840</v>
      </c>
      <c r="H6" s="4"/>
      <c r="I6" s="4"/>
      <c r="J6" s="4"/>
      <c r="K6" s="4"/>
    </row>
    <row r="7" spans="2:11" x14ac:dyDescent="0.3">
      <c r="B7" s="6"/>
      <c r="C7" s="98" t="s">
        <v>9</v>
      </c>
      <c r="D7" s="98"/>
      <c r="E7" s="9">
        <v>2400</v>
      </c>
      <c r="F7" s="10"/>
      <c r="G7" s="11"/>
      <c r="H7" s="29">
        <f>G8/$G$13</f>
        <v>0.10438413361169102</v>
      </c>
      <c r="I7" s="11">
        <f>H7*$I$13</f>
        <v>208.76826722338205</v>
      </c>
      <c r="J7" s="11">
        <f>I7+G8</f>
        <v>1408.7682672233821</v>
      </c>
      <c r="K7" s="12">
        <f>J7/E8</f>
        <v>0.58698677800974253</v>
      </c>
    </row>
    <row r="8" spans="2:11" x14ac:dyDescent="0.3">
      <c r="B8" s="6"/>
      <c r="C8" s="97" t="s">
        <v>1</v>
      </c>
      <c r="D8" s="97"/>
      <c r="E8" s="7">
        <f>E7</f>
        <v>2400</v>
      </c>
      <c r="F8" s="13">
        <v>0.5</v>
      </c>
      <c r="G8" s="37">
        <f>F8*E8</f>
        <v>1200</v>
      </c>
      <c r="H8" s="4"/>
      <c r="I8" s="4"/>
      <c r="J8" s="4"/>
      <c r="K8" s="4"/>
    </row>
    <row r="9" spans="2:11" x14ac:dyDescent="0.3">
      <c r="B9" s="6"/>
      <c r="C9" s="98" t="s">
        <v>8</v>
      </c>
      <c r="D9" s="98"/>
      <c r="E9" s="9">
        <v>720</v>
      </c>
      <c r="F9" s="10"/>
      <c r="G9" s="11"/>
      <c r="H9" s="29">
        <f>G10/$G$13</f>
        <v>5.0104384133611693E-2</v>
      </c>
      <c r="I9" s="11">
        <f>H9*$I$13</f>
        <v>100.20876826722339</v>
      </c>
      <c r="J9" s="11">
        <f>I9+G10</f>
        <v>676.20876826722338</v>
      </c>
      <c r="K9" s="12">
        <f>J9/E10</f>
        <v>0.939178844815588</v>
      </c>
    </row>
    <row r="10" spans="2:11" ht="14.4" customHeight="1" x14ac:dyDescent="0.3">
      <c r="B10" s="6"/>
      <c r="C10" s="97" t="s">
        <v>2</v>
      </c>
      <c r="D10" s="97"/>
      <c r="E10" s="7">
        <f>E9</f>
        <v>720</v>
      </c>
      <c r="F10" s="13">
        <v>0.8</v>
      </c>
      <c r="G10" s="37">
        <f>F10*E10</f>
        <v>576</v>
      </c>
      <c r="H10" s="4"/>
      <c r="I10" s="4"/>
      <c r="J10" s="4"/>
      <c r="K10" s="4"/>
    </row>
    <row r="11" spans="2:11" x14ac:dyDescent="0.3">
      <c r="B11" s="6"/>
      <c r="C11" s="106" t="s">
        <v>6</v>
      </c>
      <c r="D11" s="106"/>
      <c r="E11" s="8">
        <v>4440</v>
      </c>
      <c r="F11" s="10"/>
      <c r="G11" s="11"/>
      <c r="H11" s="29">
        <f>G12/$G$13</f>
        <v>0.77244258872651361</v>
      </c>
      <c r="I11" s="11">
        <f>H11*$I$13</f>
        <v>1544.8851774530272</v>
      </c>
      <c r="J11" s="11">
        <f>I11+G12</f>
        <v>10424.885177453027</v>
      </c>
      <c r="K11" s="12">
        <f>J11/E12</f>
        <v>2.3479471120389701</v>
      </c>
    </row>
    <row r="12" spans="2:11" x14ac:dyDescent="0.3">
      <c r="B12" s="6"/>
      <c r="C12" s="102" t="s">
        <v>3</v>
      </c>
      <c r="D12" s="102"/>
      <c r="E12" s="8">
        <f>E11</f>
        <v>4440</v>
      </c>
      <c r="F12" s="13">
        <v>2</v>
      </c>
      <c r="G12" s="37">
        <f>F12*E12</f>
        <v>8880</v>
      </c>
      <c r="H12" s="4"/>
      <c r="I12" s="4"/>
      <c r="J12" s="36"/>
      <c r="K12" s="4"/>
    </row>
    <row r="13" spans="2:11" x14ac:dyDescent="0.3">
      <c r="B13" s="6"/>
      <c r="C13" s="89"/>
      <c r="D13" s="89"/>
      <c r="E13" s="18"/>
      <c r="F13" s="19"/>
      <c r="G13" s="20">
        <f>SUM(G6:G12)</f>
        <v>11496</v>
      </c>
      <c r="H13" s="21"/>
      <c r="I13" s="20">
        <v>2000</v>
      </c>
      <c r="J13" s="20">
        <f>SUM(J5:J11)</f>
        <v>13496</v>
      </c>
      <c r="K13" s="22"/>
    </row>
    <row r="14" spans="2:11" x14ac:dyDescent="0.3">
      <c r="B14" s="6"/>
      <c r="C14" s="6"/>
      <c r="D14" s="6"/>
      <c r="E14" s="6"/>
      <c r="F14" s="6"/>
      <c r="G14" s="45">
        <f>I13+G13</f>
        <v>13496</v>
      </c>
      <c r="H14" s="6"/>
    </row>
    <row r="15" spans="2:11" x14ac:dyDescent="0.3">
      <c r="B15" s="6"/>
      <c r="C15" s="6"/>
      <c r="D15" s="6"/>
      <c r="E15" s="6"/>
      <c r="F15" s="6"/>
      <c r="G15" s="6"/>
      <c r="H15" s="6"/>
    </row>
    <row r="16" spans="2:11" x14ac:dyDescent="0.3">
      <c r="B16" s="6"/>
      <c r="C16" s="6"/>
      <c r="D16" s="6"/>
      <c r="E16" s="6"/>
      <c r="F16" s="6"/>
      <c r="G16" s="6"/>
      <c r="H16" s="6"/>
    </row>
    <row r="17" spans="2:11" x14ac:dyDescent="0.3">
      <c r="B17" s="6"/>
      <c r="C17" s="1"/>
      <c r="D17" s="1"/>
      <c r="E17" s="91" t="s">
        <v>10</v>
      </c>
      <c r="F17" s="92"/>
      <c r="G17" s="93"/>
      <c r="H17" s="27" t="s">
        <v>11</v>
      </c>
      <c r="I17" s="27" t="s">
        <v>12</v>
      </c>
      <c r="J17" s="27" t="s">
        <v>13</v>
      </c>
      <c r="K17" s="27" t="s">
        <v>13</v>
      </c>
    </row>
    <row r="18" spans="2:11" x14ac:dyDescent="0.3">
      <c r="B18" s="6"/>
      <c r="C18" s="94" t="s">
        <v>4</v>
      </c>
      <c r="D18" s="95"/>
      <c r="E18" s="23" t="s">
        <v>15</v>
      </c>
      <c r="F18" s="24" t="s">
        <v>16</v>
      </c>
      <c r="G18" s="24" t="s">
        <v>17</v>
      </c>
      <c r="H18" s="25" t="s">
        <v>18</v>
      </c>
      <c r="I18" s="25" t="s">
        <v>19</v>
      </c>
      <c r="J18" s="26" t="s">
        <v>20</v>
      </c>
      <c r="K18" s="26" t="s">
        <v>21</v>
      </c>
    </row>
    <row r="19" spans="2:11" x14ac:dyDescent="0.3">
      <c r="B19" s="6"/>
      <c r="C19" s="98" t="s">
        <v>22</v>
      </c>
      <c r="D19" s="98"/>
      <c r="E19" s="9">
        <f>E6</f>
        <v>4200</v>
      </c>
      <c r="F19" s="10"/>
      <c r="G19" s="16"/>
      <c r="H19" s="40">
        <f>E19</f>
        <v>4200</v>
      </c>
      <c r="I19" s="16">
        <f>H20*I23</f>
        <v>2076.2711864406779</v>
      </c>
      <c r="J19" s="11">
        <f>I19+G20</f>
        <v>3062.4089734970453</v>
      </c>
      <c r="K19" s="12">
        <f>J19/E20</f>
        <v>0.7291449936897727</v>
      </c>
    </row>
    <row r="20" spans="2:11" x14ac:dyDescent="0.3">
      <c r="B20" s="6"/>
      <c r="C20" s="97" t="s">
        <v>5</v>
      </c>
      <c r="D20" s="97"/>
      <c r="E20" s="7">
        <f>E19</f>
        <v>4200</v>
      </c>
      <c r="F20" s="13">
        <f>K5</f>
        <v>0.234794711203897</v>
      </c>
      <c r="G20" s="37">
        <f>F20*E20</f>
        <v>986.13778705636742</v>
      </c>
      <c r="H20" s="43">
        <f>H19/H23</f>
        <v>0.59322033898305082</v>
      </c>
      <c r="I20" s="4"/>
      <c r="J20" s="4"/>
      <c r="K20" s="4"/>
    </row>
    <row r="21" spans="2:11" x14ac:dyDescent="0.3">
      <c r="B21" s="6"/>
      <c r="C21" s="98" t="s">
        <v>23</v>
      </c>
      <c r="D21" s="98"/>
      <c r="E21" s="9">
        <f>E8</f>
        <v>2400</v>
      </c>
      <c r="F21" s="10"/>
      <c r="G21" s="11"/>
      <c r="H21" s="41">
        <f>E21*1.2</f>
        <v>2880</v>
      </c>
      <c r="I21" s="11">
        <f>H22*I23</f>
        <v>1423.7288135593221</v>
      </c>
      <c r="J21" s="11">
        <f>I21+G22</f>
        <v>2832.497080782704</v>
      </c>
      <c r="K21" s="12">
        <f>J21/E22</f>
        <v>1.1802071169927932</v>
      </c>
    </row>
    <row r="22" spans="2:11" x14ac:dyDescent="0.3">
      <c r="C22" s="97" t="s">
        <v>9</v>
      </c>
      <c r="D22" s="97"/>
      <c r="E22" s="7">
        <f>E21</f>
        <v>2400</v>
      </c>
      <c r="F22" s="13">
        <f>K7</f>
        <v>0.58698677800974253</v>
      </c>
      <c r="G22" s="37">
        <f>F22*E22</f>
        <v>1408.7682672233821</v>
      </c>
      <c r="H22" s="43">
        <f>H21/H23</f>
        <v>0.40677966101694918</v>
      </c>
      <c r="I22" s="4"/>
      <c r="J22" s="4"/>
      <c r="K22" s="4"/>
    </row>
    <row r="23" spans="2:11" x14ac:dyDescent="0.3">
      <c r="C23" s="89"/>
      <c r="D23" s="89"/>
      <c r="E23" s="18"/>
      <c r="F23" s="19"/>
      <c r="G23" s="32">
        <f>SUM(G19:G22)</f>
        <v>2394.9060542797497</v>
      </c>
      <c r="H23" s="42">
        <f>H19+H21</f>
        <v>7080</v>
      </c>
      <c r="I23" s="32">
        <v>3500</v>
      </c>
      <c r="J23" s="20">
        <f>J19+J21</f>
        <v>5894.9060542797488</v>
      </c>
      <c r="K23" s="22"/>
    </row>
    <row r="24" spans="2:11" x14ac:dyDescent="0.3">
      <c r="C24" s="90"/>
      <c r="D24" s="90"/>
      <c r="E24" s="30"/>
      <c r="F24" s="31"/>
      <c r="G24" s="44">
        <f>G23+I23</f>
        <v>5894.9060542797497</v>
      </c>
      <c r="H24" s="5"/>
      <c r="I24" s="5"/>
      <c r="J24" s="5"/>
      <c r="K24" s="5"/>
    </row>
    <row r="25" spans="2:11" x14ac:dyDescent="0.3">
      <c r="C25" s="104"/>
      <c r="D25" s="104"/>
      <c r="E25" s="30"/>
      <c r="F25" s="31"/>
      <c r="G25" s="32"/>
      <c r="H25" s="35"/>
      <c r="I25" s="32"/>
      <c r="J25" s="32"/>
      <c r="K25" s="34"/>
    </row>
    <row r="26" spans="2:11" x14ac:dyDescent="0.3">
      <c r="C26" s="1"/>
      <c r="D26" s="1"/>
      <c r="E26" s="91" t="s">
        <v>10</v>
      </c>
      <c r="F26" s="92"/>
      <c r="G26" s="93"/>
      <c r="H26" s="27" t="s">
        <v>11</v>
      </c>
      <c r="I26" s="27" t="s">
        <v>12</v>
      </c>
      <c r="J26" s="27" t="s">
        <v>13</v>
      </c>
      <c r="K26" s="27" t="s">
        <v>13</v>
      </c>
    </row>
    <row r="27" spans="2:11" x14ac:dyDescent="0.3">
      <c r="C27" s="94" t="s">
        <v>7</v>
      </c>
      <c r="D27" s="95"/>
      <c r="E27" s="23" t="s">
        <v>15</v>
      </c>
      <c r="F27" s="24" t="s">
        <v>16</v>
      </c>
      <c r="G27" s="24" t="s">
        <v>17</v>
      </c>
      <c r="H27" s="25" t="s">
        <v>18</v>
      </c>
      <c r="I27" s="25" t="s">
        <v>19</v>
      </c>
      <c r="J27" s="26" t="s">
        <v>20</v>
      </c>
      <c r="K27" s="26" t="s">
        <v>21</v>
      </c>
    </row>
    <row r="28" spans="2:11" x14ac:dyDescent="0.3">
      <c r="C28" s="98" t="s">
        <v>24</v>
      </c>
      <c r="D28" s="98"/>
      <c r="E28" s="9">
        <v>3000</v>
      </c>
      <c r="F28" s="10"/>
      <c r="G28" s="11"/>
      <c r="H28" s="48">
        <v>3000</v>
      </c>
      <c r="I28" s="11">
        <f>H29*I36</f>
        <v>2142.8571428571431</v>
      </c>
      <c r="J28" s="11">
        <f>I28+G29+G30+G31</f>
        <v>14206.630540826076</v>
      </c>
      <c r="K28" s="12">
        <f>J28/E28</f>
        <v>4.7355435136086923</v>
      </c>
    </row>
    <row r="29" spans="2:11" x14ac:dyDescent="0.3">
      <c r="C29" s="105" t="s">
        <v>22</v>
      </c>
      <c r="D29" s="105"/>
      <c r="E29" s="8">
        <v>3000</v>
      </c>
      <c r="F29" s="15">
        <f>K19</f>
        <v>0.7291449936897727</v>
      </c>
      <c r="G29" s="47">
        <f>F29*E29</f>
        <v>2187.4349810693179</v>
      </c>
      <c r="H29" s="50">
        <f>H28/H36</f>
        <v>0.7142857142857143</v>
      </c>
      <c r="I29" s="3"/>
      <c r="J29" s="3"/>
      <c r="K29" s="3"/>
    </row>
    <row r="30" spans="2:11" x14ac:dyDescent="0.3">
      <c r="C30" s="102" t="s">
        <v>23</v>
      </c>
      <c r="D30" s="102"/>
      <c r="E30" s="8">
        <v>2400</v>
      </c>
      <c r="F30" s="15">
        <f>K21</f>
        <v>1.1802071169927932</v>
      </c>
      <c r="G30" s="47">
        <f>F30*E30</f>
        <v>2832.497080782704</v>
      </c>
      <c r="H30" s="38"/>
      <c r="I30" s="16"/>
      <c r="J30" s="16"/>
      <c r="K30" s="17"/>
    </row>
    <row r="31" spans="2:11" x14ac:dyDescent="0.3">
      <c r="C31" s="97" t="s">
        <v>6</v>
      </c>
      <c r="D31" s="97"/>
      <c r="E31" s="7">
        <v>3000</v>
      </c>
      <c r="F31" s="13">
        <f>K11</f>
        <v>2.3479471120389701</v>
      </c>
      <c r="G31" s="47">
        <f>F31*E31</f>
        <v>7043.8413361169105</v>
      </c>
      <c r="H31" s="39"/>
      <c r="I31" s="4"/>
      <c r="J31" s="4"/>
      <c r="K31" s="4"/>
    </row>
    <row r="32" spans="2:11" x14ac:dyDescent="0.3">
      <c r="C32" s="98" t="s">
        <v>25</v>
      </c>
      <c r="D32" s="99"/>
      <c r="E32" s="9">
        <v>1200</v>
      </c>
      <c r="F32" s="10"/>
      <c r="G32" s="11"/>
      <c r="H32" s="48">
        <v>1200</v>
      </c>
      <c r="I32" s="11">
        <f>H33*I36</f>
        <v>857.14285714285711</v>
      </c>
      <c r="J32" s="11">
        <f>I32+G33+G34+G35</f>
        <v>5789.369459173925</v>
      </c>
      <c r="K32" s="12">
        <f>J32/E32</f>
        <v>4.8244745493116037</v>
      </c>
    </row>
    <row r="33" spans="3:11" x14ac:dyDescent="0.3">
      <c r="C33" s="100" t="s">
        <v>22</v>
      </c>
      <c r="D33" s="101"/>
      <c r="E33" s="8">
        <v>1200</v>
      </c>
      <c r="F33" s="15">
        <f>K19</f>
        <v>0.7291449936897727</v>
      </c>
      <c r="G33" s="47">
        <f>F33*E33</f>
        <v>874.97399242772724</v>
      </c>
      <c r="H33" s="50">
        <f>H32/H36</f>
        <v>0.2857142857142857</v>
      </c>
      <c r="I33" s="3"/>
      <c r="J33" s="3"/>
      <c r="K33" s="3"/>
    </row>
    <row r="34" spans="3:11" x14ac:dyDescent="0.3">
      <c r="C34" s="102" t="s">
        <v>8</v>
      </c>
      <c r="D34" s="102"/>
      <c r="E34" s="8">
        <v>720</v>
      </c>
      <c r="F34" s="15">
        <f>K9</f>
        <v>0.939178844815588</v>
      </c>
      <c r="G34" s="47">
        <f>F34*E34</f>
        <v>676.20876826722338</v>
      </c>
      <c r="H34" s="38"/>
      <c r="I34" s="16"/>
      <c r="J34" s="16"/>
      <c r="K34" s="17"/>
    </row>
    <row r="35" spans="3:11" x14ac:dyDescent="0.3">
      <c r="C35" s="103" t="s">
        <v>6</v>
      </c>
      <c r="D35" s="103"/>
      <c r="E35" s="7">
        <v>1440</v>
      </c>
      <c r="F35" s="13">
        <f>K11</f>
        <v>2.3479471120389701</v>
      </c>
      <c r="G35" s="37">
        <f>F35*E35</f>
        <v>3381.0438413361171</v>
      </c>
      <c r="H35" s="39"/>
      <c r="I35" s="4"/>
      <c r="J35" s="36"/>
      <c r="K35" s="4"/>
    </row>
    <row r="36" spans="3:11" x14ac:dyDescent="0.3">
      <c r="C36" s="104"/>
      <c r="D36" s="104"/>
      <c r="E36" s="30"/>
      <c r="F36" s="31"/>
      <c r="G36" s="32">
        <f>SUM(G29:G35)</f>
        <v>16996</v>
      </c>
      <c r="H36" s="49">
        <f>H28+H32</f>
        <v>4200</v>
      </c>
      <c r="I36" s="32">
        <v>3000</v>
      </c>
      <c r="J36" s="32">
        <f>SUM(J28:J34)</f>
        <v>19996</v>
      </c>
      <c r="K36" s="34"/>
    </row>
    <row r="37" spans="3:11" x14ac:dyDescent="0.3">
      <c r="C37" s="6"/>
      <c r="D37" s="6"/>
      <c r="E37" s="6"/>
      <c r="F37" s="6"/>
      <c r="G37" s="45">
        <f>I36+G36</f>
        <v>19996</v>
      </c>
      <c r="H37" s="6"/>
    </row>
    <row r="39" spans="3:11" x14ac:dyDescent="0.3">
      <c r="C39" s="1"/>
      <c r="D39" s="1"/>
      <c r="E39" s="91" t="s">
        <v>10</v>
      </c>
      <c r="F39" s="92"/>
      <c r="G39" s="93"/>
      <c r="H39" s="27" t="s">
        <v>11</v>
      </c>
      <c r="I39" s="27" t="s">
        <v>12</v>
      </c>
      <c r="J39" s="27" t="s">
        <v>13</v>
      </c>
      <c r="K39" s="27" t="s">
        <v>13</v>
      </c>
    </row>
    <row r="40" spans="3:11" x14ac:dyDescent="0.3">
      <c r="C40" s="94" t="s">
        <v>26</v>
      </c>
      <c r="D40" s="95"/>
      <c r="E40" s="23" t="s">
        <v>15</v>
      </c>
      <c r="F40" s="24" t="s">
        <v>16</v>
      </c>
      <c r="G40" s="24" t="s">
        <v>17</v>
      </c>
      <c r="H40" s="25" t="s">
        <v>18</v>
      </c>
      <c r="I40" s="25" t="s">
        <v>19</v>
      </c>
      <c r="J40" s="26" t="s">
        <v>20</v>
      </c>
      <c r="K40" s="26" t="s">
        <v>21</v>
      </c>
    </row>
    <row r="41" spans="3:11" x14ac:dyDescent="0.3">
      <c r="C41" s="96" t="s">
        <v>27</v>
      </c>
      <c r="D41" s="96"/>
      <c r="E41" s="9">
        <v>3000</v>
      </c>
      <c r="F41" s="10"/>
      <c r="G41" s="16"/>
      <c r="H41" s="40">
        <v>3000</v>
      </c>
      <c r="I41" s="16">
        <f>H42*I45</f>
        <v>4642.8571428571431</v>
      </c>
      <c r="J41" s="11">
        <f>I41+G42</f>
        <v>18849.487683683219</v>
      </c>
      <c r="K41" s="51">
        <f>J41/E41</f>
        <v>6.2831625612277398</v>
      </c>
    </row>
    <row r="42" spans="3:11" x14ac:dyDescent="0.3">
      <c r="C42" s="97" t="s">
        <v>24</v>
      </c>
      <c r="D42" s="97"/>
      <c r="E42" s="7">
        <v>3000</v>
      </c>
      <c r="F42" s="13">
        <f>K28</f>
        <v>4.7355435136086923</v>
      </c>
      <c r="G42" s="37">
        <f>F42*E42</f>
        <v>14206.630540826078</v>
      </c>
      <c r="H42" s="43">
        <f>H41/H45</f>
        <v>0.7142857142857143</v>
      </c>
      <c r="I42" s="4"/>
      <c r="J42" s="4"/>
      <c r="K42" s="4"/>
    </row>
    <row r="43" spans="3:11" x14ac:dyDescent="0.3">
      <c r="C43" s="96" t="s">
        <v>28</v>
      </c>
      <c r="D43" s="96"/>
      <c r="E43" s="9">
        <v>1200</v>
      </c>
      <c r="F43" s="10"/>
      <c r="G43" s="11"/>
      <c r="H43" s="41">
        <v>1200</v>
      </c>
      <c r="I43" s="11">
        <f>H44*I45</f>
        <v>1857.1428571428571</v>
      </c>
      <c r="J43" s="11">
        <f>I43+G44</f>
        <v>7646.5123163167809</v>
      </c>
      <c r="K43" s="51">
        <f>J43/E43</f>
        <v>6.3720935969306511</v>
      </c>
    </row>
    <row r="44" spans="3:11" x14ac:dyDescent="0.3">
      <c r="C44" s="97" t="s">
        <v>25</v>
      </c>
      <c r="D44" s="97"/>
      <c r="E44" s="7">
        <v>1200</v>
      </c>
      <c r="F44" s="13">
        <f>K32</f>
        <v>4.8244745493116037</v>
      </c>
      <c r="G44" s="37">
        <f>F44*E44</f>
        <v>5789.369459173924</v>
      </c>
      <c r="H44" s="43">
        <f>H43/H45</f>
        <v>0.2857142857142857</v>
      </c>
      <c r="I44" s="4"/>
      <c r="J44" s="4"/>
      <c r="K44" s="4"/>
    </row>
    <row r="45" spans="3:11" x14ac:dyDescent="0.3">
      <c r="C45" s="89"/>
      <c r="D45" s="89"/>
      <c r="E45" s="18"/>
      <c r="F45" s="19"/>
      <c r="G45" s="32">
        <f>SUM(G41:G44)</f>
        <v>19996</v>
      </c>
      <c r="H45" s="42">
        <f>H41+H43</f>
        <v>4200</v>
      </c>
      <c r="I45" s="32">
        <v>6500</v>
      </c>
      <c r="J45" s="20">
        <f>J41+J43</f>
        <v>26496</v>
      </c>
      <c r="K45" s="22"/>
    </row>
    <row r="46" spans="3:11" x14ac:dyDescent="0.3">
      <c r="C46" s="90"/>
      <c r="D46" s="90"/>
      <c r="E46" s="30"/>
      <c r="F46" s="31"/>
      <c r="G46" s="44">
        <f>G45+I45</f>
        <v>26496</v>
      </c>
      <c r="H46" s="5"/>
      <c r="I46" s="5"/>
      <c r="J46" s="5"/>
      <c r="K46" s="5"/>
    </row>
  </sheetData>
  <mergeCells count="39">
    <mergeCell ref="C8:D8"/>
    <mergeCell ref="C9:D9"/>
    <mergeCell ref="C10:D10"/>
    <mergeCell ref="E3:G3"/>
    <mergeCell ref="C4:D4"/>
    <mergeCell ref="C5:D5"/>
    <mergeCell ref="C6:D6"/>
    <mergeCell ref="C7:D7"/>
    <mergeCell ref="C25:D25"/>
    <mergeCell ref="C11:D11"/>
    <mergeCell ref="C12:D12"/>
    <mergeCell ref="C13:D13"/>
    <mergeCell ref="E17:G17"/>
    <mergeCell ref="C18:D18"/>
    <mergeCell ref="C19:D19"/>
    <mergeCell ref="C20:D20"/>
    <mergeCell ref="C21:D21"/>
    <mergeCell ref="C22:D22"/>
    <mergeCell ref="C23:D23"/>
    <mergeCell ref="C24:D24"/>
    <mergeCell ref="C36:D36"/>
    <mergeCell ref="C27:D27"/>
    <mergeCell ref="E26:G26"/>
    <mergeCell ref="C28:D28"/>
    <mergeCell ref="C29:D29"/>
    <mergeCell ref="C30:D30"/>
    <mergeCell ref="C31:D31"/>
    <mergeCell ref="C32:D32"/>
    <mergeCell ref="C33:D33"/>
    <mergeCell ref="C34:D34"/>
    <mergeCell ref="C35:D35"/>
    <mergeCell ref="C45:D45"/>
    <mergeCell ref="C46:D46"/>
    <mergeCell ref="E39:G39"/>
    <mergeCell ref="C40:D40"/>
    <mergeCell ref="C41:D41"/>
    <mergeCell ref="C42:D42"/>
    <mergeCell ref="C43:D43"/>
    <mergeCell ref="C44:D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F3EEF-9B23-4A60-AD31-F3A21536945E}">
  <dimension ref="A4:R65"/>
  <sheetViews>
    <sheetView workbookViewId="0">
      <selection activeCell="O9" sqref="O9"/>
    </sheetView>
  </sheetViews>
  <sheetFormatPr baseColWidth="10" defaultRowHeight="14.4" x14ac:dyDescent="0.3"/>
  <cols>
    <col min="1" max="4" width="11.5546875" style="1"/>
    <col min="5" max="5" width="15.88671875" style="1" customWidth="1"/>
    <col min="6" max="6" width="11.5546875" style="1"/>
    <col min="7" max="7" width="12.33203125" style="1" bestFit="1" customWidth="1"/>
    <col min="8" max="8" width="11.5546875" style="1"/>
    <col min="9" max="9" width="17.21875" style="1" customWidth="1"/>
    <col min="10" max="10" width="11.5546875" style="1"/>
    <col min="11" max="11" width="11.77734375" style="1" bestFit="1" customWidth="1"/>
    <col min="12" max="12" width="14.33203125" style="1" customWidth="1"/>
    <col min="13" max="13" width="11.5546875" style="77"/>
    <col min="14" max="18" width="11.5546875" style="1"/>
  </cols>
  <sheetData>
    <row r="4" spans="5:13" x14ac:dyDescent="0.3">
      <c r="G4" s="91" t="s">
        <v>10</v>
      </c>
      <c r="H4" s="92"/>
      <c r="I4" s="93"/>
      <c r="J4" s="27" t="s">
        <v>11</v>
      </c>
      <c r="K4" s="27" t="s">
        <v>12</v>
      </c>
      <c r="L4" s="27" t="s">
        <v>13</v>
      </c>
      <c r="M4" s="66" t="s">
        <v>13</v>
      </c>
    </row>
    <row r="5" spans="5:13" x14ac:dyDescent="0.3">
      <c r="E5" s="94" t="s">
        <v>14</v>
      </c>
      <c r="F5" s="95"/>
      <c r="G5" s="23" t="s">
        <v>15</v>
      </c>
      <c r="H5" s="24" t="s">
        <v>16</v>
      </c>
      <c r="I5" s="24" t="s">
        <v>17</v>
      </c>
      <c r="J5" s="25" t="s">
        <v>18</v>
      </c>
      <c r="K5" s="25" t="s">
        <v>19</v>
      </c>
      <c r="L5" s="26" t="s">
        <v>20</v>
      </c>
      <c r="M5" s="67" t="s">
        <v>21</v>
      </c>
    </row>
    <row r="6" spans="5:13" x14ac:dyDescent="0.3">
      <c r="E6" s="98" t="s">
        <v>29</v>
      </c>
      <c r="F6" s="98"/>
      <c r="G6" s="52"/>
      <c r="H6" s="10"/>
      <c r="I6" s="16"/>
      <c r="J6" s="29">
        <f>I7/I14</f>
        <v>0.42412850307587152</v>
      </c>
      <c r="K6" s="16">
        <f>J6*$K$14</f>
        <v>8058.4415584415592</v>
      </c>
      <c r="L6" s="11">
        <f>K6+I7</f>
        <v>70108.441558441555</v>
      </c>
      <c r="M6" s="68">
        <f>L6/G7</f>
        <v>11.298701298701298</v>
      </c>
    </row>
    <row r="7" spans="5:13" x14ac:dyDescent="0.3">
      <c r="E7" s="97" t="s">
        <v>30</v>
      </c>
      <c r="F7" s="97"/>
      <c r="G7" s="53">
        <v>6205</v>
      </c>
      <c r="H7" s="13">
        <v>10</v>
      </c>
      <c r="I7" s="37">
        <f>H7*G7</f>
        <v>62050</v>
      </c>
      <c r="J7" s="4"/>
      <c r="K7" s="4"/>
      <c r="L7" s="4"/>
      <c r="M7" s="69"/>
    </row>
    <row r="8" spans="5:13" x14ac:dyDescent="0.3">
      <c r="E8" s="98" t="s">
        <v>31</v>
      </c>
      <c r="F8" s="98"/>
      <c r="G8" s="52"/>
      <c r="H8" s="10"/>
      <c r="I8" s="11"/>
      <c r="J8" s="29">
        <f>I9/I14</f>
        <v>0.17088174982911825</v>
      </c>
      <c r="K8" s="16">
        <f>J8*$K$14</f>
        <v>3246.7532467532465</v>
      </c>
      <c r="L8" s="11">
        <f>K8+I9</f>
        <v>28246.753246753247</v>
      </c>
      <c r="M8" s="68">
        <f>L8/G9</f>
        <v>1.1298701298701299</v>
      </c>
    </row>
    <row r="9" spans="5:13" x14ac:dyDescent="0.3">
      <c r="E9" s="105" t="s">
        <v>33</v>
      </c>
      <c r="F9" s="105"/>
      <c r="G9" s="40">
        <v>25000</v>
      </c>
      <c r="H9" s="56">
        <v>1</v>
      </c>
      <c r="I9" s="47">
        <f>H9*G9</f>
        <v>25000</v>
      </c>
      <c r="J9" s="3"/>
      <c r="K9" s="3"/>
      <c r="L9" s="3"/>
      <c r="M9" s="70"/>
    </row>
    <row r="10" spans="5:13" x14ac:dyDescent="0.3">
      <c r="E10" s="98" t="s">
        <v>32</v>
      </c>
      <c r="F10" s="98"/>
      <c r="G10" s="52"/>
      <c r="H10" s="10"/>
      <c r="I10" s="11"/>
      <c r="J10" s="46">
        <f>I11/I14</f>
        <v>0.20505809979494191</v>
      </c>
      <c r="K10" s="11">
        <f>J10*$K$14</f>
        <v>3896.1038961038962</v>
      </c>
      <c r="L10" s="11">
        <f>K10+I11</f>
        <v>33896.103896103894</v>
      </c>
      <c r="M10" s="68">
        <f>L10/G11</f>
        <v>2.2597402597402594</v>
      </c>
    </row>
    <row r="11" spans="5:13" x14ac:dyDescent="0.3">
      <c r="E11" s="103" t="s">
        <v>34</v>
      </c>
      <c r="F11" s="103"/>
      <c r="G11" s="55">
        <v>15000</v>
      </c>
      <c r="H11" s="57">
        <v>2</v>
      </c>
      <c r="I11" s="14">
        <f>H11*G11</f>
        <v>30000</v>
      </c>
      <c r="J11" s="28"/>
      <c r="K11" s="14"/>
      <c r="L11" s="14"/>
      <c r="M11" s="71"/>
    </row>
    <row r="12" spans="5:13" x14ac:dyDescent="0.3">
      <c r="E12" s="106" t="s">
        <v>35</v>
      </c>
      <c r="F12" s="106"/>
      <c r="G12" s="54"/>
      <c r="H12" s="15"/>
      <c r="I12" s="16"/>
      <c r="J12" s="29">
        <f>I13/I14</f>
        <v>0.19993164730006835</v>
      </c>
      <c r="K12" s="16">
        <f>J12*$K$14</f>
        <v>3798.7012987012986</v>
      </c>
      <c r="L12" s="11">
        <f>K12+I13</f>
        <v>33048.7012987013</v>
      </c>
      <c r="M12" s="68">
        <f>L12/G13</f>
        <v>16.948051948051948</v>
      </c>
    </row>
    <row r="13" spans="5:13" x14ac:dyDescent="0.3">
      <c r="E13" s="103" t="s">
        <v>36</v>
      </c>
      <c r="F13" s="103"/>
      <c r="G13" s="53">
        <v>1950</v>
      </c>
      <c r="H13" s="13">
        <v>15</v>
      </c>
      <c r="I13" s="37">
        <f>H13*G13</f>
        <v>29250</v>
      </c>
      <c r="J13" s="4"/>
      <c r="K13" s="4"/>
      <c r="L13" s="36"/>
      <c r="M13" s="69"/>
    </row>
    <row r="14" spans="5:13" x14ac:dyDescent="0.3">
      <c r="E14" s="89"/>
      <c r="F14" s="89"/>
      <c r="G14" s="18"/>
      <c r="H14" s="19"/>
      <c r="I14" s="20">
        <f>SUM(I7:I13)</f>
        <v>146300</v>
      </c>
      <c r="J14" s="21"/>
      <c r="K14" s="20">
        <v>19000</v>
      </c>
      <c r="L14" s="20">
        <f>SUM(L6:L12)</f>
        <v>165300</v>
      </c>
      <c r="M14" s="72"/>
    </row>
    <row r="15" spans="5:13" x14ac:dyDescent="0.3">
      <c r="E15" s="6"/>
      <c r="F15" s="6"/>
      <c r="G15" s="6"/>
      <c r="H15" s="6"/>
      <c r="I15" s="45">
        <f>K14+I14</f>
        <v>165300</v>
      </c>
      <c r="J15" s="6"/>
      <c r="K15" s="2"/>
      <c r="L15" s="2"/>
      <c r="M15" s="73"/>
    </row>
    <row r="17" spans="5:13" x14ac:dyDescent="0.3">
      <c r="G17" s="91" t="s">
        <v>10</v>
      </c>
      <c r="H17" s="92"/>
      <c r="I17" s="93"/>
      <c r="J17" s="27" t="s">
        <v>11</v>
      </c>
      <c r="K17" s="27" t="s">
        <v>12</v>
      </c>
      <c r="L17" s="27" t="s">
        <v>13</v>
      </c>
      <c r="M17" s="66" t="s">
        <v>13</v>
      </c>
    </row>
    <row r="18" spans="5:13" x14ac:dyDescent="0.3">
      <c r="E18" s="94" t="s">
        <v>37</v>
      </c>
      <c r="F18" s="95"/>
      <c r="G18" s="23" t="s">
        <v>15</v>
      </c>
      <c r="H18" s="24" t="s">
        <v>16</v>
      </c>
      <c r="I18" s="24" t="s">
        <v>17</v>
      </c>
      <c r="J18" s="25" t="s">
        <v>18</v>
      </c>
      <c r="K18" s="25" t="s">
        <v>19</v>
      </c>
      <c r="L18" s="26" t="s">
        <v>20</v>
      </c>
      <c r="M18" s="67" t="s">
        <v>21</v>
      </c>
    </row>
    <row r="19" spans="5:13" x14ac:dyDescent="0.3">
      <c r="E19" s="98" t="s">
        <v>38</v>
      </c>
      <c r="F19" s="98"/>
      <c r="G19" s="52">
        <v>62050</v>
      </c>
      <c r="H19" s="10"/>
      <c r="I19" s="11"/>
      <c r="J19" s="46"/>
      <c r="K19" s="11">
        <f>K22</f>
        <v>30000</v>
      </c>
      <c r="L19" s="11">
        <f>K19+I20+I21</f>
        <v>100164.28655844156</v>
      </c>
      <c r="M19" s="68">
        <f>L19/G19</f>
        <v>1.6142511935284698</v>
      </c>
    </row>
    <row r="20" spans="5:13" x14ac:dyDescent="0.3">
      <c r="E20" s="105" t="s">
        <v>39</v>
      </c>
      <c r="F20" s="105"/>
      <c r="G20" s="54">
        <v>6205</v>
      </c>
      <c r="H20" s="15">
        <f>M6</f>
        <v>11.298701298701298</v>
      </c>
      <c r="I20" s="47">
        <f>H20*G20</f>
        <v>70108.441558441555</v>
      </c>
      <c r="J20" s="3"/>
      <c r="K20" s="3"/>
      <c r="L20" s="3"/>
      <c r="M20" s="70"/>
    </row>
    <row r="21" spans="5:13" x14ac:dyDescent="0.3">
      <c r="E21" s="103" t="s">
        <v>40</v>
      </c>
      <c r="F21" s="103"/>
      <c r="G21" s="58">
        <v>55.844999999999999</v>
      </c>
      <c r="H21" s="59">
        <v>1</v>
      </c>
      <c r="I21" s="14">
        <f>H21*G21</f>
        <v>55.844999999999999</v>
      </c>
      <c r="J21" s="28"/>
      <c r="K21" s="14"/>
      <c r="L21" s="14"/>
      <c r="M21" s="71"/>
    </row>
    <row r="22" spans="5:13" x14ac:dyDescent="0.3">
      <c r="E22" s="111"/>
      <c r="F22" s="111"/>
      <c r="G22" s="60"/>
      <c r="H22" s="31"/>
      <c r="I22" s="32">
        <f>SUM(I20:I21)</f>
        <v>70164.286558441556</v>
      </c>
      <c r="J22" s="33"/>
      <c r="K22" s="32">
        <v>30000</v>
      </c>
      <c r="L22" s="32">
        <f>SUM(L19:L21)</f>
        <v>100164.28655844156</v>
      </c>
      <c r="M22" s="74"/>
    </row>
    <row r="23" spans="5:13" x14ac:dyDescent="0.3">
      <c r="E23" s="109"/>
      <c r="F23" s="109"/>
      <c r="G23" s="61"/>
      <c r="H23" s="6"/>
      <c r="I23" s="45">
        <f>K22+I22</f>
        <v>100164.28655844156</v>
      </c>
      <c r="J23" s="6"/>
      <c r="K23" s="2"/>
      <c r="L23" s="2"/>
      <c r="M23" s="75"/>
    </row>
    <row r="24" spans="5:13" x14ac:dyDescent="0.3">
      <c r="E24" s="110"/>
      <c r="F24" s="110"/>
      <c r="G24" s="42"/>
      <c r="H24" s="63"/>
      <c r="I24" s="32"/>
      <c r="J24" s="62"/>
      <c r="K24" s="32"/>
      <c r="L24" s="32"/>
      <c r="M24" s="75"/>
    </row>
    <row r="25" spans="5:13" x14ac:dyDescent="0.3">
      <c r="E25" s="109"/>
      <c r="F25" s="109"/>
      <c r="G25" s="61"/>
      <c r="H25" s="31"/>
      <c r="I25" s="32"/>
      <c r="J25" s="62"/>
      <c r="K25" s="32"/>
      <c r="L25" s="32"/>
      <c r="M25" s="75"/>
    </row>
    <row r="26" spans="5:13" x14ac:dyDescent="0.3">
      <c r="G26" s="91" t="s">
        <v>10</v>
      </c>
      <c r="H26" s="92"/>
      <c r="I26" s="93"/>
      <c r="J26" s="27" t="s">
        <v>11</v>
      </c>
      <c r="K26" s="27" t="s">
        <v>12</v>
      </c>
      <c r="L26" s="27" t="s">
        <v>13</v>
      </c>
      <c r="M26" s="66" t="s">
        <v>13</v>
      </c>
    </row>
    <row r="27" spans="5:13" x14ac:dyDescent="0.3">
      <c r="E27" s="94" t="s">
        <v>41</v>
      </c>
      <c r="F27" s="95"/>
      <c r="G27" s="23" t="s">
        <v>15</v>
      </c>
      <c r="H27" s="24" t="s">
        <v>16</v>
      </c>
      <c r="I27" s="24" t="s">
        <v>17</v>
      </c>
      <c r="J27" s="25" t="s">
        <v>18</v>
      </c>
      <c r="K27" s="25" t="s">
        <v>19</v>
      </c>
      <c r="L27" s="26" t="s">
        <v>20</v>
      </c>
      <c r="M27" s="67" t="s">
        <v>21</v>
      </c>
    </row>
    <row r="28" spans="5:13" x14ac:dyDescent="0.3">
      <c r="E28" s="98" t="s">
        <v>42</v>
      </c>
      <c r="F28" s="98"/>
      <c r="G28" s="52">
        <v>39000</v>
      </c>
      <c r="H28" s="10"/>
      <c r="I28" s="11"/>
      <c r="J28" s="46"/>
      <c r="K28" s="11">
        <f>K31</f>
        <v>21000</v>
      </c>
      <c r="L28" s="11">
        <f>K28+I29+I30</f>
        <v>113856.70801893111</v>
      </c>
      <c r="M28" s="68">
        <f>L28/G28</f>
        <v>2.9194027697161822</v>
      </c>
    </row>
    <row r="29" spans="5:13" x14ac:dyDescent="0.3">
      <c r="E29" s="105" t="s">
        <v>38</v>
      </c>
      <c r="F29" s="105"/>
      <c r="G29" s="54">
        <v>37050</v>
      </c>
      <c r="H29" s="15">
        <f>M19</f>
        <v>1.6142511935284698</v>
      </c>
      <c r="I29" s="47">
        <f>H29*G29</f>
        <v>59808.006720229809</v>
      </c>
      <c r="J29" s="3"/>
      <c r="K29" s="3"/>
      <c r="L29" s="3"/>
      <c r="M29" s="70"/>
    </row>
    <row r="30" spans="5:13" x14ac:dyDescent="0.3">
      <c r="E30" s="103" t="s">
        <v>35</v>
      </c>
      <c r="F30" s="103"/>
      <c r="G30" s="53">
        <v>1950</v>
      </c>
      <c r="H30" s="13">
        <f>M12</f>
        <v>16.948051948051948</v>
      </c>
      <c r="I30" s="14">
        <f>H30*G30</f>
        <v>33048.7012987013</v>
      </c>
      <c r="J30" s="28"/>
      <c r="K30" s="14"/>
      <c r="L30" s="14"/>
      <c r="M30" s="71"/>
    </row>
    <row r="31" spans="5:13" x14ac:dyDescent="0.3">
      <c r="E31" s="111"/>
      <c r="F31" s="111"/>
      <c r="G31" s="60"/>
      <c r="H31" s="31"/>
      <c r="I31" s="32">
        <f>SUM(I29:I30)</f>
        <v>92856.708018931109</v>
      </c>
      <c r="J31" s="33"/>
      <c r="K31" s="32">
        <v>21000</v>
      </c>
      <c r="L31" s="32">
        <f>SUM(L28:L30)</f>
        <v>113856.70801893111</v>
      </c>
      <c r="M31" s="74"/>
    </row>
    <row r="32" spans="5:13" x14ac:dyDescent="0.3">
      <c r="E32" s="109"/>
      <c r="F32" s="109"/>
      <c r="G32" s="61"/>
      <c r="H32" s="6"/>
      <c r="I32" s="45">
        <f>K31+I31</f>
        <v>113856.70801893111</v>
      </c>
      <c r="J32" s="6"/>
      <c r="K32" s="2"/>
      <c r="L32" s="2"/>
      <c r="M32" s="75"/>
    </row>
    <row r="33" spans="5:13" x14ac:dyDescent="0.3">
      <c r="E33" s="110"/>
      <c r="F33" s="110"/>
      <c r="G33" s="42"/>
      <c r="H33" s="63"/>
      <c r="I33" s="32"/>
      <c r="J33" s="62"/>
      <c r="K33" s="32"/>
      <c r="L33" s="32"/>
      <c r="M33" s="75"/>
    </row>
    <row r="34" spans="5:13" x14ac:dyDescent="0.3">
      <c r="E34" s="109"/>
      <c r="F34" s="109"/>
      <c r="G34" s="61"/>
      <c r="H34" s="31"/>
      <c r="I34" s="32"/>
      <c r="J34" s="62"/>
      <c r="K34" s="32"/>
      <c r="L34" s="32"/>
      <c r="M34" s="75"/>
    </row>
    <row r="35" spans="5:13" x14ac:dyDescent="0.3">
      <c r="E35" s="110"/>
      <c r="F35" s="110"/>
      <c r="G35" s="61"/>
      <c r="H35" s="31"/>
      <c r="I35" s="64"/>
      <c r="J35" s="5"/>
      <c r="K35" s="5"/>
      <c r="L35" s="44"/>
      <c r="M35" s="76"/>
    </row>
    <row r="36" spans="5:13" x14ac:dyDescent="0.3">
      <c r="G36" s="91" t="s">
        <v>10</v>
      </c>
      <c r="H36" s="92"/>
      <c r="I36" s="93"/>
      <c r="J36" s="27" t="s">
        <v>11</v>
      </c>
      <c r="K36" s="27" t="s">
        <v>12</v>
      </c>
      <c r="L36" s="27" t="s">
        <v>13</v>
      </c>
      <c r="M36" s="66" t="s">
        <v>13</v>
      </c>
    </row>
    <row r="37" spans="5:13" x14ac:dyDescent="0.3">
      <c r="E37" s="94" t="s">
        <v>43</v>
      </c>
      <c r="F37" s="95"/>
      <c r="G37" s="23" t="s">
        <v>15</v>
      </c>
      <c r="H37" s="24" t="s">
        <v>16</v>
      </c>
      <c r="I37" s="24" t="s">
        <v>17</v>
      </c>
      <c r="J37" s="25" t="s">
        <v>18</v>
      </c>
      <c r="K37" s="25" t="s">
        <v>19</v>
      </c>
      <c r="L37" s="26" t="s">
        <v>20</v>
      </c>
      <c r="M37" s="67" t="s">
        <v>21</v>
      </c>
    </row>
    <row r="38" spans="5:13" x14ac:dyDescent="0.3">
      <c r="E38" s="98" t="s">
        <v>44</v>
      </c>
      <c r="F38" s="98"/>
      <c r="G38" s="41">
        <f>G40</f>
        <v>10000</v>
      </c>
      <c r="H38" s="10"/>
      <c r="I38" s="11"/>
      <c r="J38" s="41"/>
      <c r="K38" s="11">
        <f>J39*$K$50</f>
        <v>8988.7640449438204</v>
      </c>
      <c r="L38" s="11">
        <f>K38+I39+I40</f>
        <v>36429.977278929815</v>
      </c>
      <c r="M38" s="83">
        <f>L38/G38</f>
        <v>3.6429977278929817</v>
      </c>
    </row>
    <row r="39" spans="5:13" x14ac:dyDescent="0.3">
      <c r="E39" s="105" t="s">
        <v>38</v>
      </c>
      <c r="F39" s="105"/>
      <c r="G39" s="54">
        <v>10000</v>
      </c>
      <c r="H39" s="15">
        <f>M19</f>
        <v>1.6142511935284698</v>
      </c>
      <c r="I39" s="47">
        <f>H39*G39</f>
        <v>16142.511935284698</v>
      </c>
      <c r="J39" s="82">
        <f>J40/$J$50</f>
        <v>0.2247191011235955</v>
      </c>
      <c r="K39" s="3"/>
      <c r="L39" s="3"/>
      <c r="M39" s="84"/>
    </row>
    <row r="40" spans="5:13" x14ac:dyDescent="0.3">
      <c r="E40" s="103" t="s">
        <v>31</v>
      </c>
      <c r="F40" s="103"/>
      <c r="G40" s="55">
        <f>G39</f>
        <v>10000</v>
      </c>
      <c r="H40" s="13">
        <f>M8</f>
        <v>1.1298701298701299</v>
      </c>
      <c r="I40" s="47">
        <f>H40*G40</f>
        <v>11298.701298701299</v>
      </c>
      <c r="J40" s="55">
        <f>G40</f>
        <v>10000</v>
      </c>
      <c r="K40" s="14"/>
      <c r="L40" s="14"/>
      <c r="M40" s="85"/>
    </row>
    <row r="41" spans="5:13" x14ac:dyDescent="0.3">
      <c r="E41" s="108" t="s">
        <v>45</v>
      </c>
      <c r="F41" s="108"/>
      <c r="G41" s="41">
        <f>G43</f>
        <v>5000</v>
      </c>
      <c r="H41" s="79"/>
      <c r="I41" s="80"/>
      <c r="J41" s="81"/>
      <c r="K41" s="11">
        <f>J42*$K$50</f>
        <v>6741.5730337078649</v>
      </c>
      <c r="L41" s="11">
        <f>K41+I42+I43</f>
        <v>42254.042235336208</v>
      </c>
      <c r="M41" s="83">
        <f>L41/G41</f>
        <v>8.4508084470672422</v>
      </c>
    </row>
    <row r="42" spans="5:13" x14ac:dyDescent="0.3">
      <c r="E42" s="102" t="s">
        <v>38</v>
      </c>
      <c r="F42" s="102"/>
      <c r="G42" s="54">
        <v>15000</v>
      </c>
      <c r="H42" s="15">
        <f>H39</f>
        <v>1.6142511935284698</v>
      </c>
      <c r="I42" s="47">
        <f>H42*G42</f>
        <v>24213.767902927048</v>
      </c>
      <c r="J42" s="82">
        <f>J43/$J$50</f>
        <v>0.16853932584269662</v>
      </c>
      <c r="K42" s="16"/>
      <c r="L42" s="16"/>
      <c r="M42" s="86"/>
    </row>
    <row r="43" spans="5:13" x14ac:dyDescent="0.3">
      <c r="E43" s="103" t="s">
        <v>32</v>
      </c>
      <c r="F43" s="103"/>
      <c r="G43" s="55">
        <v>5000</v>
      </c>
      <c r="H43" s="57">
        <f>M10</f>
        <v>2.2597402597402594</v>
      </c>
      <c r="I43" s="47">
        <f>H43*G43</f>
        <v>11298.701298701297</v>
      </c>
      <c r="J43" s="55">
        <f>G43*1.5</f>
        <v>7500</v>
      </c>
      <c r="K43" s="14"/>
      <c r="L43" s="14"/>
      <c r="M43" s="85"/>
    </row>
    <row r="44" spans="5:13" x14ac:dyDescent="0.3">
      <c r="E44" s="98" t="s">
        <v>46</v>
      </c>
      <c r="F44" s="98"/>
      <c r="G44" s="41">
        <f>G46</f>
        <v>15000</v>
      </c>
      <c r="H44" s="10"/>
      <c r="I44" s="11"/>
      <c r="J44" s="41"/>
      <c r="K44" s="11">
        <f>J45*$K$50</f>
        <v>13483.14606741573</v>
      </c>
      <c r="L44" s="11">
        <f>K44+I45+I46</f>
        <v>74222.239561210401</v>
      </c>
      <c r="M44" s="83">
        <f>L44/G44</f>
        <v>4.948149304080693</v>
      </c>
    </row>
    <row r="45" spans="5:13" x14ac:dyDescent="0.3">
      <c r="E45" s="105" t="s">
        <v>42</v>
      </c>
      <c r="F45" s="105"/>
      <c r="G45" s="54">
        <v>15000</v>
      </c>
      <c r="H45" s="15">
        <f>M28</f>
        <v>2.9194027697161822</v>
      </c>
      <c r="I45" s="47">
        <f>H45*G45</f>
        <v>43791.04154574273</v>
      </c>
      <c r="J45" s="82">
        <f>J46/$J$50</f>
        <v>0.33707865168539325</v>
      </c>
      <c r="K45" s="3"/>
      <c r="L45" s="3"/>
      <c r="M45" s="84"/>
    </row>
    <row r="46" spans="5:13" x14ac:dyDescent="0.3">
      <c r="E46" s="103" t="s">
        <v>31</v>
      </c>
      <c r="F46" s="103"/>
      <c r="G46" s="55">
        <f>G45</f>
        <v>15000</v>
      </c>
      <c r="H46" s="13">
        <f>H40</f>
        <v>1.1298701298701299</v>
      </c>
      <c r="I46" s="47">
        <f>H46*G46</f>
        <v>16948.051948051947</v>
      </c>
      <c r="J46" s="55">
        <f>G46</f>
        <v>15000</v>
      </c>
      <c r="K46" s="14"/>
      <c r="L46" s="14"/>
      <c r="M46" s="85"/>
    </row>
    <row r="47" spans="5:13" x14ac:dyDescent="0.3">
      <c r="E47" s="108" t="s">
        <v>47</v>
      </c>
      <c r="F47" s="108"/>
      <c r="G47" s="41">
        <v>8000</v>
      </c>
      <c r="H47" s="79"/>
      <c r="I47" s="80"/>
      <c r="J47" s="81"/>
      <c r="K47" s="11">
        <f>J48*$K$50</f>
        <v>10786.516853932584</v>
      </c>
      <c r="L47" s="11">
        <f>K47+I48+I49</f>
        <v>98930.105405043039</v>
      </c>
      <c r="M47" s="83">
        <f>L47/G47</f>
        <v>12.36626317563038</v>
      </c>
    </row>
    <row r="48" spans="5:13" x14ac:dyDescent="0.3">
      <c r="E48" s="102" t="s">
        <v>42</v>
      </c>
      <c r="F48" s="102"/>
      <c r="G48" s="54">
        <f>G47*3</f>
        <v>24000</v>
      </c>
      <c r="H48" s="15">
        <f>H45</f>
        <v>2.9194027697161822</v>
      </c>
      <c r="I48" s="47">
        <f>H48*G48</f>
        <v>70065.666473188379</v>
      </c>
      <c r="J48" s="82">
        <f>J49/$J$50</f>
        <v>0.2696629213483146</v>
      </c>
      <c r="K48" s="16"/>
      <c r="L48" s="16"/>
      <c r="M48" s="78"/>
    </row>
    <row r="49" spans="3:13" x14ac:dyDescent="0.3">
      <c r="E49" s="103" t="s">
        <v>32</v>
      </c>
      <c r="F49" s="103"/>
      <c r="G49" s="55">
        <v>8000</v>
      </c>
      <c r="H49" s="57">
        <f>H43</f>
        <v>2.2597402597402594</v>
      </c>
      <c r="I49" s="47">
        <f>H49*G49</f>
        <v>18077.922077922074</v>
      </c>
      <c r="J49" s="55">
        <f>G49*1.5</f>
        <v>12000</v>
      </c>
      <c r="K49" s="14"/>
      <c r="L49" s="14"/>
      <c r="M49" s="71"/>
    </row>
    <row r="50" spans="3:13" x14ac:dyDescent="0.3">
      <c r="H50" s="19"/>
      <c r="I50" s="20">
        <f>SUM(I39:I49)</f>
        <v>211836.36448051946</v>
      </c>
      <c r="J50" s="18">
        <f>J40+J43+J46+J49</f>
        <v>44500</v>
      </c>
      <c r="K50" s="20">
        <v>40000</v>
      </c>
      <c r="L50" s="20">
        <f>SUM(L38:L47)</f>
        <v>251836.36448051949</v>
      </c>
    </row>
    <row r="51" spans="3:13" x14ac:dyDescent="0.3">
      <c r="H51" s="6"/>
      <c r="I51" s="45">
        <f>K50+I50</f>
        <v>251836.36448051946</v>
      </c>
      <c r="J51" s="6"/>
      <c r="K51" s="2"/>
      <c r="L51" s="2"/>
    </row>
    <row r="56" spans="3:13" x14ac:dyDescent="0.3">
      <c r="C56" s="107" t="s">
        <v>48</v>
      </c>
      <c r="D56" s="107"/>
      <c r="E56" s="107"/>
      <c r="G56" s="107" t="s">
        <v>49</v>
      </c>
      <c r="H56" s="107"/>
      <c r="I56" s="107"/>
    </row>
    <row r="57" spans="3:13" x14ac:dyDescent="0.3">
      <c r="C57" s="1" t="s">
        <v>50</v>
      </c>
      <c r="E57" s="87">
        <f>I9+I11</f>
        <v>55000</v>
      </c>
      <c r="G57" s="88" t="str">
        <f>E38</f>
        <v>1kg pintura blanca</v>
      </c>
      <c r="I57" s="87">
        <f>L38</f>
        <v>36429.977278929815</v>
      </c>
    </row>
    <row r="58" spans="3:13" x14ac:dyDescent="0.3">
      <c r="C58" s="1" t="s">
        <v>51</v>
      </c>
      <c r="E58" s="87">
        <f>I7</f>
        <v>62050</v>
      </c>
      <c r="G58" s="1" t="str">
        <f>E41</f>
        <v>3kg pintura blanca</v>
      </c>
      <c r="I58" s="87">
        <f>L41</f>
        <v>42254.042235336208</v>
      </c>
    </row>
    <row r="59" spans="3:13" x14ac:dyDescent="0.3">
      <c r="C59" s="1" t="s">
        <v>52</v>
      </c>
      <c r="E59" s="87">
        <f>I13</f>
        <v>29250</v>
      </c>
      <c r="G59" s="88" t="str">
        <f>E44</f>
        <v>1kg pintura color</v>
      </c>
      <c r="I59" s="87">
        <f>L44</f>
        <v>74222.239561210401</v>
      </c>
    </row>
    <row r="60" spans="3:13" x14ac:dyDescent="0.3">
      <c r="C60" s="1" t="s">
        <v>40</v>
      </c>
      <c r="E60" s="87">
        <f>I21</f>
        <v>55.844999999999999</v>
      </c>
      <c r="G60" s="1" t="str">
        <f>E47</f>
        <v>3kg pintura color</v>
      </c>
      <c r="I60" s="87">
        <f>L47</f>
        <v>98930.105405043039</v>
      </c>
    </row>
    <row r="61" spans="3:13" x14ac:dyDescent="0.3">
      <c r="C61" s="88" t="str">
        <f>E5</f>
        <v>Almacén de entrada</v>
      </c>
      <c r="E61" s="87">
        <f>K14</f>
        <v>19000</v>
      </c>
      <c r="G61" s="88" t="s">
        <v>53</v>
      </c>
      <c r="I61" s="65">
        <f>H43*2000</f>
        <v>4519.4805194805185</v>
      </c>
    </row>
    <row r="62" spans="3:13" x14ac:dyDescent="0.3">
      <c r="C62" s="88" t="str">
        <f>E18</f>
        <v>Mezcladora 1</v>
      </c>
      <c r="E62" s="87">
        <f>K22</f>
        <v>30000</v>
      </c>
      <c r="I62" s="87">
        <f>SUM(I57:I61)</f>
        <v>256355.845</v>
      </c>
    </row>
    <row r="63" spans="3:13" x14ac:dyDescent="0.3">
      <c r="C63" s="88" t="str">
        <f>E27</f>
        <v>Mezcladora 2</v>
      </c>
      <c r="E63" s="87">
        <f>K31</f>
        <v>21000</v>
      </c>
    </row>
    <row r="64" spans="3:13" x14ac:dyDescent="0.3">
      <c r="C64" s="88" t="str">
        <f>E37</f>
        <v>Envasado</v>
      </c>
      <c r="E64" s="87">
        <f>K50</f>
        <v>40000</v>
      </c>
    </row>
    <row r="65" spans="5:5" x14ac:dyDescent="0.3">
      <c r="E65" s="87">
        <f>SUM(E57:E64)</f>
        <v>256355.845</v>
      </c>
    </row>
  </sheetData>
  <mergeCells count="46">
    <mergeCell ref="E9:F9"/>
    <mergeCell ref="G4:I4"/>
    <mergeCell ref="E5:F5"/>
    <mergeCell ref="E6:F6"/>
    <mergeCell ref="E7:F7"/>
    <mergeCell ref="E8:F8"/>
    <mergeCell ref="E11:F11"/>
    <mergeCell ref="E12:F12"/>
    <mergeCell ref="E13:F13"/>
    <mergeCell ref="E14:F14"/>
    <mergeCell ref="E10:F10"/>
    <mergeCell ref="G26:I26"/>
    <mergeCell ref="G17:I17"/>
    <mergeCell ref="E18:F18"/>
    <mergeCell ref="E19:F19"/>
    <mergeCell ref="E20:F20"/>
    <mergeCell ref="E21:F21"/>
    <mergeCell ref="E22:F22"/>
    <mergeCell ref="E33:F33"/>
    <mergeCell ref="E23:F23"/>
    <mergeCell ref="E24:F24"/>
    <mergeCell ref="E25:F25"/>
    <mergeCell ref="E27:F27"/>
    <mergeCell ref="E28:F28"/>
    <mergeCell ref="E29:F29"/>
    <mergeCell ref="E30:F30"/>
    <mergeCell ref="E31:F31"/>
    <mergeCell ref="E32:F32"/>
    <mergeCell ref="E44:F44"/>
    <mergeCell ref="E34:F34"/>
    <mergeCell ref="E35:F35"/>
    <mergeCell ref="G36:I36"/>
    <mergeCell ref="E37:F37"/>
    <mergeCell ref="E38:F38"/>
    <mergeCell ref="E39:F39"/>
    <mergeCell ref="E40:F40"/>
    <mergeCell ref="E41:F41"/>
    <mergeCell ref="E42:F42"/>
    <mergeCell ref="E43:F43"/>
    <mergeCell ref="G56:I56"/>
    <mergeCell ref="E45:F45"/>
    <mergeCell ref="E46:F46"/>
    <mergeCell ref="E47:F47"/>
    <mergeCell ref="E48:F48"/>
    <mergeCell ref="E49:F49"/>
    <mergeCell ref="C56:E5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85A5B5DBFABA4688040F73C9A74E73" ma:contentTypeVersion="0" ma:contentTypeDescription="Crear nuevo documento." ma:contentTypeScope="" ma:versionID="614d0656f64c360c136fbb15cfb5c3d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f364da72abba1808497e1d498a72d2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B86B85-F947-4A5E-B7D2-2846FEB46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090B013-1E89-4FFB-904C-8F32A10C1F22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  <ds:schemaRef ds:uri="http://purl.org/dc/terms/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ECB043C-4BF1-40DC-9F90-492EDC91F3F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 resuelto coste 1</vt:lpstr>
      <vt:lpstr>ejercicio resuelto coste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JMPere</dc:creator>
  <cp:lastModifiedBy>Jose manuel</cp:lastModifiedBy>
  <dcterms:created xsi:type="dcterms:W3CDTF">2020-12-10T19:08:30Z</dcterms:created>
  <dcterms:modified xsi:type="dcterms:W3CDTF">2020-12-10T23:43:08Z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0x010100BE85A5B5DBFABA4688040F73C9A74E73</vt:lpwstr>
  </property>
</Properties>
</file>